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se usa" sheetId="1" state="visible" r:id="rId3"/>
    <sheet name="Pesos por competencia" sheetId="2" state="visible" r:id="rId4"/>
    <sheet name="Matriz" sheetId="3" state="visible" r:id="rId5"/>
    <sheet name="Unidades" sheetId="4" state="visible" r:id="rId6"/>
    <sheet name="Ejemplo" sheetId="5" state="visible" r:id="rId7"/>
    <sheet name="Diversidad y acce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<sst xmlns="http://schemas.openxmlformats.org/spreadsheetml/2006/main" count="163" uniqueCount="150">
  <si>
    <t xml:space="preserve">Matriz de cobertura competencial</t>
  </si>
  <si>
    <t xml:space="preserve">Sistema Aula y Comunidad Educativa Aumentada · plantilla 17</t>
  </si>
  <si>
    <t xml:space="preserve">Para qué sirve</t>
  </si>
  <si>
    <t xml:space="preserve">Para comprobar que ninguna competencia específica se queda sin trabajar,</t>
  </si>
  <si>
    <t xml:space="preserve">y que ninguna ocupa el sitio de otra, cuando programas por proyectos.</t>
  </si>
  <si>
    <t xml:space="preserve">Las dos sumas, que no son lo mismo</t>
  </si>
  <si>
    <t xml:space="preserve">SUMA 1 · hoja «Pesos por competencia»: cuánto pesa cada competencia específica en la</t>
  </si>
  <si>
    <t xml:space="preserve">materia. Todos los pesos juntos deben sumar 100 %. Es lo que hace que la programación</t>
  </si>
  <si>
    <t xml:space="preserve">esté completa.</t>
  </si>
  <si>
    <t xml:space="preserve">SUMA 2 · hoja «Matriz»: cómo se reparte cada competencia entre las unidades. Cada</t>
  </si>
  <si>
    <t xml:space="preserve">competencia debe llegar a su propio 100 %. Es lo que evita que una se quede sin trabajar.</t>
  </si>
  <si>
    <t xml:space="preserve">Qué se escribe y dónde</t>
  </si>
  <si>
    <t xml:space="preserve">Solo en las celdas amarillas de la hoja «Matriz»:</t>
  </si>
  <si>
    <t xml:space="preserve">· en la columna A, el enunciado de cada competencia específica, copiado del currículo;</t>
  </si>
  <si>
    <t xml:space="preserve">· en las columnas P1 a P6, el porcentaje que aporta cada proyecto.</t>
  </si>
  <si>
    <t xml:space="preserve">Escribe el número sin el símbolo: 25, no 25%. La hoja ya lo muestra como porcentaje.</t>
  </si>
  <si>
    <t xml:space="preserve">Las columnas Suma, Falta y Estado se calculan solas: no las toques.</t>
  </si>
  <si>
    <t xml:space="preserve">Cómo se lee</t>
  </si>
  <si>
    <t xml:space="preserve">Fila (por competencia): debe sumar 100 %. Es la comprobación que importa.</t>
  </si>
  <si>
    <t xml:space="preserve">Columna (por proyecto): es informativa. Dice si el curso está equilibrado.</t>
  </si>
  <si>
    <t xml:space="preserve">La celda «Competencias sin cuadrar» debe llegar a 0 antes de dar la programación por buena.</t>
  </si>
  <si>
    <t xml:space="preserve">Los cuatro estados</t>
  </si>
  <si>
    <t xml:space="preserve">Completa: suma 100 %. Correcto.</t>
  </si>
  <si>
    <t xml:space="preserve">Incompleta: suma menos de 100 %. Falta cobertura.</t>
  </si>
  <si>
    <t xml:space="preserve">Excede: pasa del 100 %. Está ocupando espacio de otra competencia.</t>
  </si>
  <si>
    <t xml:space="preserve">Huérfana: suma 0 %. No se trabaja en ningún proyecto del curso.</t>
  </si>
  <si>
    <t xml:space="preserve">Dónde está la frontera</t>
  </si>
  <si>
    <t xml:space="preserve">Ponderar la programación es una decisión de planificación del departamento, y esta</t>
  </si>
  <si>
    <t xml:space="preserve">hoja te ayuda a repartir y a comprobar que cuadra.</t>
  </si>
  <si>
    <t xml:space="preserve">Calificar a una persona es otra cosa: eso no se hace aquí ni con esta hoja.</t>
  </si>
  <si>
    <t xml:space="preserve">El sistema no calcula la nota de nadie, no aplica estos pesos a un trabajo concreto</t>
  </si>
  <si>
    <t xml:space="preserve">y no compara ni ordena alumnado.</t>
  </si>
  <si>
    <t xml:space="preserve">Las otras hojas</t>
  </si>
  <si>
    <t xml:space="preserve">«Unidades»: una fila por unidad, con competencias, criterios, saberes, descriptores y ODS.</t>
  </si>
  <si>
    <t xml:space="preserve">«Ejemplo»: un caso ficticio con los cuatro estados, para ver cómo se lee la matriz.</t>
  </si>
  <si>
    <t xml:space="preserve">«Diversidad y accesibilidad»: qué barreras prevés en cada proyecto y qué medidas pones.</t>
  </si>
  <si>
    <t xml:space="preserve">Nunca escribas ahí nombres, diagnósticos ni datos de salud.</t>
  </si>
  <si>
    <t xml:space="preserve">Comprobaciones de coherencia</t>
  </si>
  <si>
    <t xml:space="preserve">Un criterio de evaluación n.m exige que la competencia específica n esté declarada</t>
  </si>
  <si>
    <t xml:space="preserve">en esa misma unidad. Es el fallo más habitual y el más fácil de pasar por alto.</t>
  </si>
  <si>
    <t xml:space="preserve">Lo mismo con los descriptores operativos: si citas CD2, la competencia clave CD</t>
  </si>
  <si>
    <t xml:space="preserve">debe estar marcada en esa unidad.</t>
  </si>
  <si>
    <t xml:space="preserve">Peso de cada competencia específica en el curso</t>
  </si>
  <si>
    <t xml:space="preserve">Suma 1: todos los pesos juntos deben sumar 100 %.</t>
  </si>
  <si>
    <t xml:space="preserve">Es lo que hace que la programación esté completa.</t>
  </si>
  <si>
    <t xml:space="preserve">Ponderar la programación es una decisión del departamento. Calificar a una persona no se hace aquí.</t>
  </si>
  <si>
    <t xml:space="preserve">CE</t>
  </si>
  <si>
    <t xml:space="preserve">Enunciado (cópialo del currículo)</t>
  </si>
  <si>
    <t xml:space="preserve">Peso</t>
  </si>
  <si>
    <t xml:space="preserve">Criterios de evaluación</t>
  </si>
  <si>
    <t xml:space="preserve">Instrumento de evaluación</t>
  </si>
  <si>
    <t xml:space="preserve">CE1</t>
  </si>
  <si>
    <t xml:space="preserve">CE2</t>
  </si>
  <si>
    <t xml:space="preserve">CE3</t>
  </si>
  <si>
    <t xml:space="preserve">CE4</t>
  </si>
  <si>
    <t xml:space="preserve">CE5</t>
  </si>
  <si>
    <t xml:space="preserve">CE6</t>
  </si>
  <si>
    <t xml:space="preserve">CE7</t>
  </si>
  <si>
    <t xml:space="preserve">CE8</t>
  </si>
  <si>
    <t xml:space="preserve">TOTAL</t>
  </si>
  <si>
    <t xml:space="preserve">Recuerda: este peso es de la programación, no la nota de nadie.</t>
  </si>
  <si>
    <t xml:space="preserve">Cada competencia específica debe sumar 100 % a lo largo del curso.</t>
  </si>
  <si>
    <t xml:space="preserve">Escribe solo en las celdas amarillas. Las sumas y los avisos se calculan solos.</t>
  </si>
  <si>
    <t xml:space="preserve">El porcentaje de cobertura NO es el peso del proyecto en la nota.</t>
  </si>
  <si>
    <t xml:space="preserve">Competencia específica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</si>
  <si>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</si>
  <si>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</si>
  <si>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</si>
  <si>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</si>
  <si>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</si>
  <si>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</si>
  <si>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Suma</t>
  </si>
  <si>
    <t xml:space="preserve">Falta</t>
  </si>
  <si>
    <t xml:space="preserve">Estado</t>
  </si>
  <si>
    <t xml:space="preserve">CE1 · escribe aquí el enunciado</t>
  </si>
  <si>
    <t xml:space="preserve">CE2 · escribe aquí el enunciado</t>
  </si>
  <si>
    <t xml:space="preserve">CE3 · escribe aquí el enunciado</t>
  </si>
  <si>
    <t xml:space="preserve">CE4 · escribe aquí el enunciado</t>
  </si>
  <si>
    <t xml:space="preserve">CE5 · escribe aquí el enunciado</t>
  </si>
  <si>
    <t xml:space="preserve">CE6 · escribe aquí el enunciado</t>
  </si>
  <si>
    <t xml:space="preserve">CE7 · escribe aquí el enunciado</t>
  </si>
  <si>
    <t xml:space="preserve">CE8 · escribe aquí el enunciado</t>
  </si>
  <si>
    <t xml:space="preserve">Peso del proyecto (informativo)</t>
  </si>
  <si>
    <t xml:space="preserve">Suma total de la matriz</t>
  </si>
  <si>
    <t xml:space="preserve">Competencias sin cuadrar</t>
  </si>
  <si>
    <t xml:space="preserve">Debe ser 0 antes de dar por buena la programación</t>
  </si>
  <si>
    <t xml:space="preserve">Unidades de programación</t>
  </si>
  <si>
    <t xml:space="preserve">Una fila por unidad. Los códigos, separados por comas.</t>
  </si>
  <si>
    <t xml:space="preserve">Coherencia: un criterio n.m exige que la competencia específica n esté en la columna de competencias.</t>
  </si>
  <si>
    <t xml:space="preserve">UD</t>
  </si>
  <si>
    <t xml:space="preserve">Título</t>
  </si>
  <si>
    <t xml:space="preserve">Trimestre</t>
  </si>
  <si>
    <t xml:space="preserve">Fechas</t>
  </si>
  <si>
    <t xml:space="preserve">Sesiones</t>
  </si>
  <si>
    <t xml:space="preserve">Competencias clave</t>
  </si>
  <si>
    <t xml:space="preserve">Competencias específicas</t>
  </si>
  <si>
    <t xml:space="preserve">Descriptores operativos</t>
  </si>
  <si>
    <t xml:space="preserve">Saberes</t>
  </si>
  <si>
    <t xml:space="preserve">Instrumento</t>
  </si>
  <si>
    <t xml:space="preserve">ODS</t>
  </si>
  <si>
    <t xml:space="preserve">Diversidad prevista</t>
  </si>
  <si>
    <t xml:space="preserve">UD1</t>
  </si>
  <si>
    <t xml:space="preserve">UD2</t>
  </si>
  <si>
    <t xml:space="preserve">UD3</t>
  </si>
  <si>
    <t xml:space="preserve">UD4</t>
  </si>
  <si>
    <t xml:space="preserve">UD5</t>
  </si>
  <si>
    <t xml:space="preserve">UD6</t>
  </si>
  <si>
    <t xml:space="preserve">UD7</t>
  </si>
  <si>
    <t xml:space="preserve">UD8</t>
  </si>
  <si>
    <t xml:space="preserve">UD9</t>
  </si>
  <si>
    <t xml:space="preserve">UD10</t>
  </si>
  <si>
    <t xml:space="preserve">Total de sesiones</t>
  </si>
  <si>
    <t xml:space="preserve">Antes de dar la programación por buena, comprueba también:</t>
  </si>
  <si>
    <t xml:space="preserve">· que ninguna competencia específica se quede fuera de todas las unidades;</t>
  </si>
  <si>
    <t xml:space="preserve">· que cada criterio citado corresponda a una competencia declarada en esa misma unidad;</t>
  </si>
  <si>
    <t xml:space="preserve">· que cada descriptor operativo tenga marcada su competencia clave;</t>
  </si>
  <si>
    <t xml:space="preserve">· que todos los bloques de saberes aparezcan en algún momento del curso;</t>
  </si>
  <si>
    <t xml:space="preserve">· que cada unidad lleve su previsión de diversidad y accesibilidad.</t>
  </si>
  <si>
    <t xml:space="preserve">Ejemplo ficticio · cómo se lee la matriz</t>
  </si>
  <si>
    <t xml:space="preserve">Materia y proyectos inventados. Sirve para ver los cuatro estados posibles.</t>
  </si>
  <si>
    <t xml:space="preserve">Competencia</t>
  </si>
  <si>
    <t xml:space="preserve">P1 · Investigación</t>
  </si>
  <si>
    <t xml:space="preserve">P2 · Producto</t>
  </si>
  <si>
    <t xml:space="preserve">P3 · Difusión</t>
  </si>
  <si>
    <t xml:space="preserve">CE1 · Buscar y contrastar información</t>
  </si>
  <si>
    <t xml:space="preserve">CE2 · Elaborar un producto propio</t>
  </si>
  <si>
    <t xml:space="preserve">CE3 · Comunicar resultados</t>
  </si>
  <si>
    <t xml:space="preserve">—</t>
  </si>
  <si>
    <t xml:space="preserve">CE4 · Trabajar en equipo con criterio</t>
  </si>
  <si>
    <t xml:space="preserve">Peso del proyecto</t>
  </si>
  <si>
    <t xml:space="preserve">Qué se ve de un vistazo:</t>
  </si>
  <si>
    <t xml:space="preserve">· CE3 se queda corta: falta un 20 % por repartir.</t>
  </si>
  <si>
    <t xml:space="preserve">· CE4 es huérfana: no se trabaja en ningún proyecto del curso.</t>
  </si>
  <si>
    <t xml:space="preserve">· El tercer proyecto está muy descargado frente a los otros dos.</t>
  </si>
  <si>
    <t xml:space="preserve">· Son tres decisiones del docente, no un cálculo del sistema.</t>
  </si>
  <si>
    <t xml:space="preserve">Atención a la diversidad y accesibilidad, por proyecto</t>
  </si>
  <si>
    <t xml:space="preserve">Se diseña por barreras, nunca por etiquetas ni diagnósticos.</t>
  </si>
  <si>
    <t xml:space="preserve">No escribas aquí nombres, diagnósticos ni datos de salud.</t>
  </si>
  <si>
    <t xml:space="preserve">Proyecto</t>
  </si>
  <si>
    <t xml:space="preserve">Barreras previsibles</t>
  </si>
  <si>
    <t xml:space="preserve">Acceso (representación)</t>
  </si>
  <si>
    <t xml:space="preserve">Participación</t>
  </si>
  <si>
    <t xml:space="preserve">Expresión</t>
  </si>
  <si>
    <t xml:space="preserve">Ampliación</t>
  </si>
  <si>
    <t xml:space="preserve">Formato alternativo</t>
  </si>
  <si>
    <t xml:space="preserve">Deriva a orientación</t>
  </si>
  <si>
    <t xml:space="preserve">Recordatorio</t>
  </si>
  <si>
    <t xml:space="preserve">· Las medidas generales de diseño se proponen aquí y las decide el docente.</t>
  </si>
  <si>
    <t xml:space="preserve">· Las medidas específicas (adaptaciones significativas, apoyos especializados) las determina</t>
  </si>
  <si>
    <t xml:space="preserve">· el equipo de orientación con su procedimiento. Aquí solo se anota la derivación.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</si>
</sst>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F42"/>
      <name val="Arial"/>
      <family val="0"/>
      <charset val="1"/>
    </font>
    <font>
      <i val="true"/>
      <sz val="9"/>
      <color rgb="FF5B6B66"/>
      <name val="Arial"/>
      <family val="0"/>
      <charset val="1"/>
    </font>
    <font>
      <b val="true"/>
      <sz val="11"/>
      <color rgb="FF1F4F42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A8500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F42"/>
        <bgColor rgb="FF1F6F4A"/>
      </patternFill>
    </fill>
    <fill>
      <patternFill patternType="solid">
        <fgColor rgb="FFE8F0ED"/>
        <bgColor rgb="FFD6F0E2"/>
      </patternFill>
    </fill>
    <fill>
      <patternFill patternType="solid">
        <fgColor rgb="FFFFF3CD"/>
        <bgColor rgb="FFFB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C1"/>
      </left>
      <right style="thin">
        <color rgb="FFB9C7C1"/>
      </right>
      <top style="thin">
        <color rgb="FFB9C7C1"/>
      </top>
      <bottom style="thin">
        <color rgb="FFB9C7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F6F4A"/>
        <sz val="10"/>
      </font>
      <fill>
        <patternFill>
          <bgColor rgb="FFD6F0E2"/>
        </patternFill>
      </fill>
    </dxf>
    <dxf>
      <font>
        <name val="Arial"/>
        <charset val="1"/>
        <family val="0"/>
        <b val="1"/>
        <color rgb="FF9B2C1C"/>
        <sz val="10"/>
      </font>
      <fill>
        <patternFill>
          <bgColor rgb="FFFBE0DC"/>
        </patternFill>
      </fill>
    </dxf>
    <dxf>
      <font>
        <name val="Arial"/>
        <charset val="1"/>
        <family val="0"/>
        <color rgb="FF1F6F4A"/>
        <sz val="10"/>
      </font>
      <fill>
        <patternFill>
          <bgColor rgb="FFD6F0E2"/>
        </patternFill>
      </fill>
    </dxf>
    <dxf>
      <font>
        <name val="Arial"/>
        <charset val="1"/>
        <family val="0"/>
        <color rgb="FF8A6100"/>
        <sz val="10"/>
      </font>
      <fill>
        <patternFill>
          <bgColor rgb="FFFFF3CD"/>
        </patternFill>
      </fill>
    </dxf>
    <dxf>
      <font>
        <name val="Arial"/>
        <charset val="1"/>
        <family val="0"/>
        <color rgb="FF9B2C1C"/>
        <sz val="10"/>
      </font>
      <fill>
        <patternFill>
          <bgColor rgb="FFFBE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1F6F4A"/>
      <rgbColor rgb="FFB9C7C1"/>
      <rgbColor rgb="FF808080"/>
      <rgbColor rgb="FF9999FF"/>
      <rgbColor rgb="FFA8500F"/>
      <rgbColor rgb="FFFFF3CD"/>
      <rgbColor rgb="FFE8F0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2"/>
      <rgbColor rgb="FFFFFF99"/>
      <rgbColor rgb="FF99CCFF"/>
      <rgbColor rgb="FFFF99CC"/>
      <rgbColor rgb="FFCC99FF"/>
      <rgbColor rgb="FFFBE0DC"/>
      <rgbColor rgb="FF3366FF"/>
      <rgbColor rgb="FF33CCCC"/>
      <rgbColor rgb="FF99CC00"/>
      <rgbColor rgb="FFFFCC00"/>
      <rgbColor rgb="FFFF9900"/>
      <rgbColor rgb="FFFF6600"/>
      <rgbColor rgb="FF5B6B66"/>
      <rgbColor rgb="FF969696"/>
      <rgbColor rgb="FF003366"/>
      <rgbColor rgb="FF339966"/>
      <rgbColor rgb="FF003300"/>
      <rgbColor rgb="FF333300"/>
      <rgbColor rgb="FF9B2C1C"/>
      <rgbColor rgb="FF993366"/>
      <rgbColor rgb="FF333399"/>
      <rgbColor rgb="FF1F4F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4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4" t="s">
        <v>27</v>
      </c>
    </row>
    <row r="35" customFormat="false" ht="15" hidden="false" customHeight="false" outlineLevel="0" collapsed="false">
      <c r="A35" s="4" t="s">
        <v>28</v>
      </c>
    </row>
    <row r="36" customFormat="false" ht="15" hidden="false" customHeight="false" outlineLevel="0" collapsed="false">
      <c r="A36" s="4" t="s">
        <v>29</v>
      </c>
    </row>
    <row r="37" customFormat="false" ht="15" hidden="false" customHeight="false" outlineLevel="0" collapsed="false">
      <c r="A37" s="4" t="s">
        <v>30</v>
      </c>
    </row>
    <row r="38" customFormat="false" ht="15" hidden="false" customHeight="false" outlineLevel="0" collapsed="false">
      <c r="A38" s="4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4" t="s">
        <v>33</v>
      </c>
    </row>
    <row r="42" customFormat="false" ht="15" hidden="false" customHeight="false" outlineLevel="0" collapsed="false">
      <c r="A42" s="4" t="s">
        <v>34</v>
      </c>
    </row>
    <row r="43" customFormat="false" ht="15" hidden="false" customHeight="false" outlineLevel="0" collapsed="false">
      <c r="A43" s="4" t="s">
        <v>35</v>
      </c>
    </row>
    <row r="44" customFormat="false" ht="15" hidden="false" customHeight="false" outlineLevel="0" collapsed="false">
      <c r="A44" s="4" t="s">
        <v>36</v>
      </c>
    </row>
    <row r="46" customFormat="false" ht="15" hidden="false" customHeight="false" outlineLevel="0" collapsed="false">
      <c r="A46" s="3" t="s">
        <v>37</v>
      </c>
    </row>
    <row r="47" customFormat="false" ht="15" hidden="false" customHeight="false" outlineLevel="0" collapsed="false">
      <c r="A47" s="4" t="s">
        <v>38</v>
      </c>
    </row>
    <row r="48" customFormat="false" ht="15" hidden="false" customHeight="false" outlineLevel="0" collapsed="false">
      <c r="A48" s="4" t="s">
        <v>39</v>
      </c>
    </row>
    <row r="49" customFormat="false" ht="15" hidden="false" customHeight="false" outlineLevel="0" collapsed="false">
      <c r="A49" s="4" t="s">
        <v>40</v>
      </c>
    </row>
    <row r="50" customFormat="false" ht="15" hidden="false" customHeight="false" outlineLevel="0" collapsed="false">
      <c r="A50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</row>
    <row r="4" customFormat="false" ht="15" hidden="false" customHeight="false" outlineLevel="0" collapsed="false">
      <c r="A4" s="5" t="s">
        <v>45</v>
      </c>
    </row>
    <row r="6" customFormat="false" ht="15" hidden="false" customHeight="false" outlineLevel="0" collapsed="false">
      <c r="A6" s="6" t="s">
        <v>46</v>
      </c>
      <c r="B6" s="6" t="s">
        <v>47</v>
      </c>
      <c r="C6" s="6" t="s">
        <v>48</v>
      </c>
      <c r="D6" s="6" t="s">
        <v>49</v>
      </c>
      <c r="E6" s="6" t="s">
        <v>50</v>
      </c>
    </row>
    <row r="7" customFormat="false" ht="15" hidden="false" customHeight="false" outlineLevel="0" collapsed="false">
      <c r="A7" s="7" t="s">
        <v>51</v>
      </c>
      <c r="B7" s="8"/>
      <c r="C7" s="9"/>
      <c r="D7" s="8"/>
      <c r="E7" s="8"/>
    </row>
    <row r="8" customFormat="false" ht="15" hidden="false" customHeight="false" outlineLevel="0" collapsed="false">
      <c r="A8" s="7" t="s">
        <v>52</v>
      </c>
      <c r="B8" s="8"/>
      <c r="C8" s="9"/>
      <c r="D8" s="8"/>
      <c r="E8" s="8"/>
    </row>
    <row r="9" customFormat="false" ht="15" hidden="false" customHeight="false" outlineLevel="0" collapsed="false">
      <c r="A9" s="7" t="s">
        <v>53</v>
      </c>
      <c r="B9" s="8"/>
      <c r="C9" s="9"/>
      <c r="D9" s="8"/>
      <c r="E9" s="8"/>
    </row>
    <row r="10" customFormat="false" ht="15" hidden="false" customHeight="false" outlineLevel="0" collapsed="false">
      <c r="A10" s="7" t="s">
        <v>54</v>
      </c>
      <c r="B10" s="8"/>
      <c r="C10" s="9"/>
      <c r="D10" s="8"/>
      <c r="E10" s="8"/>
    </row>
    <row r="11" customFormat="false" ht="15" hidden="false" customHeight="false" outlineLevel="0" collapsed="false">
      <c r="A11" s="7" t="s">
        <v>55</v>
      </c>
      <c r="B11" s="8"/>
      <c r="C11" s="9"/>
      <c r="D11" s="8"/>
      <c r="E11" s="8"/>
    </row>
    <row r="12" customFormat="false" ht="15" hidden="false" customHeight="false" outlineLevel="0" collapsed="false">
      <c r="A12" s="7" t="s">
        <v>56</v>
      </c>
      <c r="B12" s="8"/>
      <c r="C12" s="9"/>
      <c r="D12" s="8"/>
      <c r="E12" s="8"/>
    </row>
    <row r="13" customFormat="false" ht="15" hidden="false" customHeight="false" outlineLevel="0" collapsed="false">
      <c r="A13" s="7" t="s">
        <v>57</v>
      </c>
      <c r="B13" s="8"/>
      <c r="C13" s="9"/>
      <c r="D13" s="8"/>
      <c r="E13" s="8"/>
    </row>
    <row r="14" customFormat="false" ht="15" hidden="false" customHeight="false" outlineLevel="0" collapsed="false">
      <c r="A14" s="7" t="s">
        <v>58</v>
      </c>
      <c r="B14" s="8"/>
      <c r="C14" s="9"/>
      <c r="D14" s="8"/>
      <c r="E14" s="8"/>
    </row>
    <row r="15" customFormat="false" ht="15" hidden="false" customHeight="false" outlineLevel="0" collapsed="false">
      <c r="B15" s="10" t="s">
        <v>59</v>
      </c>
      <c r="C15" s="11" t="n">
        <f aca="false">SUM(C7:C14)</f>
        <v>0</v>
      </c>
      <c r="D15" s="12" t="str">
        <f aca="false">IF(C15=100,"Correcto: la programación cuadra",IF(C15&lt;100,"Falta "&amp;(100-C15)&amp;"% por repartir","Sobra "&amp;(C15-100)&amp;"%: algo está contado dos veces"))</f>
        <v>Falta 100% por repartir</v>
      </c>
    </row>
    <row r="17" customFormat="false" ht="15" hidden="false" customHeight="false" outlineLevel="0" collapsed="false">
      <c r="B17" s="2" t="s">
        <v>60</v>
      </c>
    </row>
  </sheetData>
  <conditionalFormatting sqref="C15">
    <cfRule type="cellIs" priority="2" operator="equal" aboveAverage="0" equalAverage="0" bottom="0" percent="0" rank="0" text="" dxfId="0">
      <formula>100</formula>
    </cfRule>
    <cfRule type="cellIs" priority="3" operator="notEqual" aboveAverage="0" equalAverage="0" bottom="0" percent="0" rank="0" text="" dxfId="1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7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4" customFormat="false" ht="15" hidden="false" customHeight="false" outlineLevel="0" collapsed="false">
      <c r="A4" s="5" t="s">
        <v>63</v>
      </c>
    </row>
    <row r="6" customFormat="false" ht="15" hidden="false" customHeight="false" outlineLevel="0" collapsed="false">
      <c r="A6" s="13" t="s">
        <v>64</v>
      </c>
      <c r="B6" s="14" t="s">
        <v>65</v>
      </c>
      <c r="C6" s="14" t="s">
        <v>66</v>
      </c>
      <c r="D6" s="14" t="s">
        <v>67</v>
      </c>
      <c r="E6" s="14" t="s">
        <v>68</v>
      </c>
      <c r="F6" s="14" t="s">
        <v>69</v>
      </c>
      <c r="G6" s="14" t="s">
        <v>70</v>
      </c>
      <c r="H6" s="14" t="s">
        <v>71</v>
      </c>
      <c r="I6" s="14" t="s">
        <v>72</v>
      </c>
      <c r="J6" s="14" t="s">
        <v>73</v>
      </c>
    </row>
    <row r="7" customFormat="false" ht="15" hidden="false" customHeight="false" outlineLevel="0" collapsed="false">
      <c r="A7" s="8" t="s">
        <v>74</v>
      </c>
      <c r="B7" s="9"/>
      <c r="C7" s="9"/>
      <c r="D7" s="9"/>
      <c r="E7" s="9"/>
      <c r="F7" s="9"/>
      <c r="G7" s="9"/>
      <c r="H7" s="11" t="n">
        <f aca="false">SUM(B7:G7)</f>
        <v>0</v>
      </c>
      <c r="I7" s="15" t="n">
        <f aca="false">100-H7</f>
        <v>100</v>
      </c>
      <c r="J7" s="16" t="str">
        <f aca="false">IF(H7=0,"Huérfana: no se trabaja",IF(H7=100,"Completa",IF(H7&lt;100,"Incompleta","Excede")))</f>
        <v>Huérfana: no se trabaja</v>
      </c>
    </row>
    <row r="8" customFormat="false" ht="15" hidden="false" customHeight="false" outlineLevel="0" collapsed="false">
      <c r="A8" s="8" t="s">
        <v>75</v>
      </c>
      <c r="B8" s="9"/>
      <c r="C8" s="9"/>
      <c r="D8" s="9"/>
      <c r="E8" s="9"/>
      <c r="F8" s="9"/>
      <c r="G8" s="9"/>
      <c r="H8" s="11" t="n">
        <f aca="false">SUM(B8:G8)</f>
        <v>0</v>
      </c>
      <c r="I8" s="15" t="n">
        <f aca="false">100-H8</f>
        <v>100</v>
      </c>
      <c r="J8" s="16" t="str">
        <f aca="false">IF(H8=0,"Huérfana: no se trabaja",IF(H8=100,"Completa",IF(H8&lt;100,"Incompleta","Excede")))</f>
        <v>Huérfana: no se trabaja</v>
      </c>
    </row>
    <row r="9" customFormat="false" ht="15" hidden="false" customHeight="false" outlineLevel="0" collapsed="false">
      <c r="A9" s="8" t="s">
        <v>76</v>
      </c>
      <c r="B9" s="9"/>
      <c r="C9" s="9"/>
      <c r="D9" s="9"/>
      <c r="E9" s="9"/>
      <c r="F9" s="9"/>
      <c r="G9" s="9"/>
      <c r="H9" s="11" t="n">
        <f aca="false">SUM(B9:G9)</f>
        <v>0</v>
      </c>
      <c r="I9" s="15" t="n">
        <f aca="false">100-H9</f>
        <v>100</v>
      </c>
      <c r="J9" s="16" t="str">
        <f aca="false">IF(H9=0,"Huérfana: no se trabaja",IF(H9=100,"Completa",IF(H9&lt;100,"Incompleta","Excede")))</f>
        <v>Huérfana: no se trabaja</v>
      </c>
    </row>
    <row r="10" customFormat="false" ht="15" hidden="false" customHeight="false" outlineLevel="0" collapsed="false">
      <c r="A10" s="8" t="s">
        <v>77</v>
      </c>
      <c r="B10" s="9"/>
      <c r="C10" s="9"/>
      <c r="D10" s="9"/>
      <c r="E10" s="9"/>
      <c r="F10" s="9"/>
      <c r="G10" s="9"/>
      <c r="H10" s="11" t="n">
        <f aca="false">SUM(B10:G10)</f>
        <v>0</v>
      </c>
      <c r="I10" s="15" t="n">
        <f aca="false">100-H10</f>
        <v>100</v>
      </c>
      <c r="J10" s="16" t="str">
        <f aca="false">IF(H10=0,"Huérfana: no se trabaja",IF(H10=100,"Completa",IF(H10&lt;100,"Incompleta","Excede")))</f>
        <v>Huérfana: no se trabaja</v>
      </c>
    </row>
    <row r="11" customFormat="false" ht="15" hidden="false" customHeight="false" outlineLevel="0" collapsed="false">
      <c r="A11" s="8" t="s">
        <v>78</v>
      </c>
      <c r="B11" s="9"/>
      <c r="C11" s="9"/>
      <c r="D11" s="9"/>
      <c r="E11" s="9"/>
      <c r="F11" s="9"/>
      <c r="G11" s="9"/>
      <c r="H11" s="11" t="n">
        <f aca="false">SUM(B11:G11)</f>
        <v>0</v>
      </c>
      <c r="I11" s="15" t="n">
        <f aca="false">100-H11</f>
        <v>100</v>
      </c>
      <c r="J11" s="16" t="str">
        <f aca="false">IF(H11=0,"Huérfana: no se trabaja",IF(H11=100,"Completa",IF(H11&lt;100,"Incompleta","Excede")))</f>
        <v>Huérfana: no se trabaja</v>
      </c>
    </row>
    <row r="12" customFormat="false" ht="15" hidden="false" customHeight="false" outlineLevel="0" collapsed="false">
      <c r="A12" s="8" t="s">
        <v>79</v>
      </c>
      <c r="B12" s="9"/>
      <c r="C12" s="9"/>
      <c r="D12" s="9"/>
      <c r="E12" s="9"/>
      <c r="F12" s="9"/>
      <c r="G12" s="9"/>
      <c r="H12" s="11" t="n">
        <f aca="false">SUM(B12:G12)</f>
        <v>0</v>
      </c>
      <c r="I12" s="15" t="n">
        <f aca="false">100-H12</f>
        <v>100</v>
      </c>
      <c r="J12" s="16" t="str">
        <f aca="false">IF(H12=0,"Huérfana: no se trabaja",IF(H12=100,"Completa",IF(H12&lt;100,"Incompleta","Excede")))</f>
        <v>Huérfana: no se trabaja</v>
      </c>
    </row>
    <row r="13" customFormat="false" ht="15" hidden="false" customHeight="false" outlineLevel="0" collapsed="false">
      <c r="A13" s="8" t="s">
        <v>80</v>
      </c>
      <c r="B13" s="9"/>
      <c r="C13" s="9"/>
      <c r="D13" s="9"/>
      <c r="E13" s="9"/>
      <c r="F13" s="9"/>
      <c r="G13" s="9"/>
      <c r="H13" s="11" t="n">
        <f aca="false">SUM(B13:G13)</f>
        <v>0</v>
      </c>
      <c r="I13" s="15" t="n">
        <f aca="false">100-H13</f>
        <v>100</v>
      </c>
      <c r="J13" s="16" t="str">
        <f aca="false">IF(H13=0,"Huérfana: no se trabaja",IF(H13=100,"Completa",IF(H13&lt;100,"Incompleta","Excede")))</f>
        <v>Huérfana: no se trabaja</v>
      </c>
    </row>
    <row r="14" customFormat="false" ht="15" hidden="false" customHeight="false" outlineLevel="0" collapsed="false">
      <c r="A14" s="8" t="s">
        <v>81</v>
      </c>
      <c r="B14" s="9"/>
      <c r="C14" s="9"/>
      <c r="D14" s="9"/>
      <c r="E14" s="9"/>
      <c r="F14" s="9"/>
      <c r="G14" s="9"/>
      <c r="H14" s="11" t="n">
        <f aca="false">SUM(B14:G14)</f>
        <v>0</v>
      </c>
      <c r="I14" s="15" t="n">
        <f aca="false">100-H14</f>
        <v>100</v>
      </c>
      <c r="J14" s="16" t="str">
        <f aca="false">IF(H14=0,"Huérfana: no se trabaja",IF(H14=100,"Completa",IF(H14&lt;100,"Incompleta","Excede")))</f>
        <v>Huérfana: no se trabaja</v>
      </c>
    </row>
    <row r="15" customFormat="false" ht="15" hidden="false" customHeight="false" outlineLevel="0" collapsed="false">
      <c r="A15" s="17" t="s">
        <v>82</v>
      </c>
      <c r="B15" s="11" t="n">
        <f aca="false">SUM(B7:B14)</f>
        <v>0</v>
      </c>
      <c r="C15" s="11" t="n">
        <f aca="false">SUM(C7:C14)</f>
        <v>0</v>
      </c>
      <c r="D15" s="11" t="n">
        <f aca="false">SUM(D7:D14)</f>
        <v>0</v>
      </c>
      <c r="E15" s="11" t="n">
        <f aca="false">SUM(E7:E14)</f>
        <v>0</v>
      </c>
      <c r="F15" s="11" t="n">
        <f aca="false">SUM(F7:F14)</f>
        <v>0</v>
      </c>
      <c r="G15" s="11" t="n">
        <f aca="false">SUM(G7:G14)</f>
        <v>0</v>
      </c>
      <c r="H15" s="11" t="n">
        <f aca="false">SUM(H7:H14)</f>
        <v>0</v>
      </c>
      <c r="J15" s="18" t="s">
        <v>83</v>
      </c>
    </row>
    <row r="17" customFormat="false" ht="15" hidden="false" customHeight="false" outlineLevel="0" collapsed="false">
      <c r="A17" s="19" t="s">
        <v>84</v>
      </c>
      <c r="B17" s="20" t="n">
        <f aca="false">COUNTIF(J7:J14,"Incompleta")+COUNTIF(J7:J14,"Excede")+COUNTIF(J7:J14,"Huérfana: no se trabaja")</f>
        <v>8</v>
      </c>
      <c r="C17" s="2" t="s">
        <v>85</v>
      </c>
    </row>
  </sheetData>
  <conditionalFormatting sqref="J7:J14">
    <cfRule type="cellIs" priority="2" operator="equal" aboveAverage="0" equalAverage="0" bottom="0" percent="0" rank="0" text="" dxfId="2">
      <formula>"Completa"</formula>
    </cfRule>
    <cfRule type="cellIs" priority="3" operator="equal" aboveAverage="0" equalAverage="0" bottom="0" percent="0" rank="0" text="" dxfId="3">
      <formula>"Incompleta"</formula>
    </cfRule>
    <cfRule type="cellIs" priority="4" operator="equal" aboveAverage="0" equalAverage="0" bottom="0" percent="0" rank="0" text="" dxfId="4">
      <formula>"Excede"</formula>
    </cfRule>
    <cfRule type="cellIs" priority="5" operator="equal" aboveAverage="0" equalAverage="0" bottom="0" percent="0" rank="0" text="" dxfId="1">
      <formula>"Huérfana: no se trabaja"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7" min="6" style="0" width="20"/>
    <col collapsed="false" customWidth="true" hidden="false" outlineLevel="0" max="9" min="8" style="0" width="24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5" t="s">
        <v>88</v>
      </c>
    </row>
    <row r="5" customFormat="false" ht="23.85" hidden="false" customHeight="false" outlineLevel="0" collapsed="false">
      <c r="A5" s="6" t="s">
        <v>89</v>
      </c>
      <c r="B5" s="6" t="s">
        <v>90</v>
      </c>
      <c r="C5" s="6" t="s">
        <v>91</v>
      </c>
      <c r="D5" s="6" t="s">
        <v>92</v>
      </c>
      <c r="E5" s="6" t="s">
        <v>93</v>
      </c>
      <c r="F5" s="6" t="s">
        <v>94</v>
      </c>
      <c r="G5" s="6" t="s">
        <v>95</v>
      </c>
      <c r="H5" s="6" t="s">
        <v>96</v>
      </c>
      <c r="I5" s="6" t="s">
        <v>49</v>
      </c>
      <c r="J5" s="6" t="s">
        <v>97</v>
      </c>
      <c r="K5" s="6" t="s">
        <v>98</v>
      </c>
      <c r="L5" s="6" t="s">
        <v>99</v>
      </c>
      <c r="M5" s="6" t="s">
        <v>100</v>
      </c>
    </row>
    <row r="6" customFormat="false" ht="33.75" hidden="false" customHeight="true" outlineLevel="0" collapsed="false">
      <c r="A6" s="7" t="s">
        <v>101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customFormat="false" ht="33.75" hidden="false" customHeight="true" outlineLevel="0" collapsed="false">
      <c r="A7" s="7" t="s">
        <v>102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customFormat="false" ht="33.75" hidden="false" customHeight="true" outlineLevel="0" collapsed="false">
      <c r="A8" s="7" t="s">
        <v>103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customFormat="false" ht="33.75" hidden="false" customHeight="true" outlineLevel="0" collapsed="false">
      <c r="A9" s="7" t="s">
        <v>104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customFormat="false" ht="33.75" hidden="false" customHeight="true" outlineLevel="0" collapsed="false">
      <c r="A10" s="7" t="s">
        <v>105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customFormat="false" ht="33.75" hidden="false" customHeight="true" outlineLevel="0" collapsed="false">
      <c r="A11" s="7" t="s">
        <v>106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customFormat="false" ht="33.75" hidden="false" customHeight="true" outlineLevel="0" collapsed="false">
      <c r="A12" s="7" t="s">
        <v>107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33.75" hidden="false" customHeight="true" outlineLevel="0" collapsed="false">
      <c r="A13" s="7" t="s">
        <v>108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customFormat="false" ht="33.75" hidden="false" customHeight="true" outlineLevel="0" collapsed="false">
      <c r="A14" s="7" t="s">
        <v>109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customFormat="false" ht="33.75" hidden="false" customHeight="true" outlineLevel="0" collapsed="false">
      <c r="A15" s="7" t="s">
        <v>110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7" customFormat="false" ht="15" hidden="false" customHeight="false" outlineLevel="0" collapsed="false">
      <c r="B17" s="17" t="s">
        <v>111</v>
      </c>
      <c r="E17" s="7" t="n">
        <f aca="false">SUM(E6:E15)</f>
        <v>0</v>
      </c>
    </row>
    <row r="19" customFormat="false" ht="15" hidden="false" customHeight="false" outlineLevel="0" collapsed="false">
      <c r="B19" s="3" t="s">
        <v>112</v>
      </c>
    </row>
    <row r="20" customFormat="false" ht="15" hidden="false" customHeight="false" outlineLevel="0" collapsed="false">
      <c r="B20" s="4" t="s">
        <v>113</v>
      </c>
    </row>
    <row r="21" customFormat="false" ht="15" hidden="false" customHeight="false" outlineLevel="0" collapsed="false">
      <c r="B21" s="4" t="s">
        <v>114</v>
      </c>
    </row>
    <row r="22" customFormat="false" ht="15" hidden="false" customHeight="false" outlineLevel="0" collapsed="false">
      <c r="B22" s="4" t="s">
        <v>115</v>
      </c>
    </row>
    <row r="23" customFormat="false" ht="15" hidden="false" customHeight="false" outlineLevel="0" collapsed="false">
      <c r="B23" s="4" t="s">
        <v>116</v>
      </c>
    </row>
    <row r="24" customFormat="false" ht="15" hidden="false" customHeight="false" outlineLevel="0" collapsed="false">
      <c r="B24" s="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14" t="s">
        <v>120</v>
      </c>
      <c r="B4" s="14" t="s">
        <v>121</v>
      </c>
      <c r="C4" s="14" t="s">
        <v>122</v>
      </c>
      <c r="D4" s="14" t="s">
        <v>123</v>
      </c>
      <c r="E4" s="14" t="s">
        <v>71</v>
      </c>
      <c r="F4" s="14" t="s">
        <v>73</v>
      </c>
    </row>
    <row r="5" customFormat="false" ht="15" hidden="false" customHeight="false" outlineLevel="0" collapsed="false">
      <c r="A5" s="22" t="s">
        <v>124</v>
      </c>
      <c r="B5" s="15" t="n">
        <v>50</v>
      </c>
      <c r="C5" s="15" t="n">
        <v>30</v>
      </c>
      <c r="D5" s="15" t="n">
        <v>20</v>
      </c>
      <c r="E5" s="11" t="n">
        <f aca="false">SUM(B5:D5)</f>
        <v>100</v>
      </c>
      <c r="F5" s="22" t="str">
        <f aca="false">IF(E5=0,"Huérfana: no se trabaja",IF(E5=100,"Completa",IF(E5&lt;100,"Incompleta","Excede")))</f>
        <v>Completa</v>
      </c>
    </row>
    <row r="6" customFormat="false" ht="15" hidden="false" customHeight="false" outlineLevel="0" collapsed="false">
      <c r="A6" s="22" t="s">
        <v>125</v>
      </c>
      <c r="B6" s="15" t="n">
        <v>20</v>
      </c>
      <c r="C6" s="15" t="n">
        <v>60</v>
      </c>
      <c r="D6" s="15" t="n">
        <v>20</v>
      </c>
      <c r="E6" s="11" t="n">
        <f aca="false">SUM(B6:D6)</f>
        <v>100</v>
      </c>
      <c r="F6" s="22" t="str">
        <f aca="false">IF(E6=0,"Huérfana: no se trabaja",IF(E6=100,"Completa",IF(E6&lt;100,"Incompleta","Excede")))</f>
        <v>Completa</v>
      </c>
    </row>
    <row r="7" customFormat="false" ht="15" hidden="false" customHeight="false" outlineLevel="0" collapsed="false">
      <c r="A7" s="22" t="s">
        <v>126</v>
      </c>
      <c r="B7" s="15" t="n">
        <v>40</v>
      </c>
      <c r="C7" s="15" t="n">
        <v>40</v>
      </c>
      <c r="D7" s="23" t="s">
        <v>127</v>
      </c>
      <c r="E7" s="11" t="n">
        <f aca="false">SUM(B7:D7)</f>
        <v>80</v>
      </c>
      <c r="F7" s="22" t="str">
        <f aca="false">IF(E7=0,"Huérfana: no se trabaja",IF(E7=100,"Completa",IF(E7&lt;100,"Incompleta","Excede")))</f>
        <v>Incompleta</v>
      </c>
    </row>
    <row r="8" customFormat="false" ht="15" hidden="false" customHeight="false" outlineLevel="0" collapsed="false">
      <c r="A8" s="22" t="s">
        <v>128</v>
      </c>
      <c r="B8" s="23" t="s">
        <v>127</v>
      </c>
      <c r="C8" s="23" t="s">
        <v>127</v>
      </c>
      <c r="D8" s="23" t="s">
        <v>127</v>
      </c>
      <c r="E8" s="11" t="n">
        <f aca="false">SUM(B8:D8)</f>
        <v>0</v>
      </c>
      <c r="F8" s="22" t="str">
        <f aca="false">IF(E8=0,"Huérfana: no se trabaja",IF(E8=100,"Completa",IF(E8&lt;100,"Incompleta","Excede")))</f>
        <v>Huérfana: no se trabaja</v>
      </c>
    </row>
    <row r="9" customFormat="false" ht="15" hidden="false" customHeight="false" outlineLevel="0" collapsed="false">
      <c r="A9" s="17" t="s">
        <v>129</v>
      </c>
      <c r="B9" s="11" t="n">
        <f aca="false">SUM(B5:B8)</f>
        <v>110</v>
      </c>
      <c r="C9" s="11" t="n">
        <f aca="false">SUM(C5:C8)</f>
        <v>130</v>
      </c>
      <c r="D9" s="11" t="n">
        <f aca="false">SUM(D5:D8)</f>
        <v>40</v>
      </c>
      <c r="E9" s="11" t="n">
        <f aca="false">SUM(E5:E8)</f>
        <v>280</v>
      </c>
    </row>
    <row r="11" customFormat="false" ht="15" hidden="false" customHeight="false" outlineLevel="0" collapsed="false">
      <c r="A11" s="3" t="s">
        <v>130</v>
      </c>
    </row>
    <row r="12" customFormat="false" ht="15" hidden="false" customHeight="false" outlineLevel="0" collapsed="false">
      <c r="A12" s="4" t="s">
        <v>131</v>
      </c>
    </row>
    <row r="13" customFormat="false" ht="15" hidden="false" customHeight="false" outlineLevel="0" collapsed="false">
      <c r="A13" s="4" t="s">
        <v>132</v>
      </c>
    </row>
    <row r="14" customFormat="false" ht="15" hidden="false" customHeight="false" outlineLevel="0" collapsed="false">
      <c r="A14" s="4" t="s">
        <v>133</v>
      </c>
    </row>
    <row r="15" customFormat="false" ht="15" hidden="false" customHeight="false" outlineLevel="0" collapsed="false">
      <c r="A15" s="4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26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5" t="s">
        <v>137</v>
      </c>
    </row>
    <row r="5" customFormat="false" ht="15" hidden="false" customHeight="false" outlineLevel="0" collapsed="false">
      <c r="A5" s="6" t="s">
        <v>138</v>
      </c>
      <c r="B5" s="6" t="s">
        <v>139</v>
      </c>
      <c r="C5" s="6" t="s">
        <v>140</v>
      </c>
      <c r="D5" s="6" t="s">
        <v>141</v>
      </c>
      <c r="E5" s="6" t="s">
        <v>142</v>
      </c>
      <c r="F5" s="6" t="s">
        <v>143</v>
      </c>
      <c r="G5" s="6" t="s">
        <v>144</v>
      </c>
      <c r="H5" s="6" t="s">
        <v>145</v>
      </c>
    </row>
    <row r="6" customFormat="false" ht="45.75" hidden="false" customHeight="true" outlineLevel="0" collapsed="false">
      <c r="A6" s="7" t="s">
        <v>65</v>
      </c>
      <c r="B6" s="21"/>
      <c r="C6" s="21"/>
      <c r="D6" s="21"/>
      <c r="E6" s="21"/>
      <c r="F6" s="21"/>
      <c r="G6" s="21"/>
      <c r="H6" s="21"/>
    </row>
    <row r="7" customFormat="false" ht="45.75" hidden="false" customHeight="true" outlineLevel="0" collapsed="false">
      <c r="A7" s="7" t="s">
        <v>66</v>
      </c>
      <c r="B7" s="21"/>
      <c r="C7" s="21"/>
      <c r="D7" s="21"/>
      <c r="E7" s="21"/>
      <c r="F7" s="21"/>
      <c r="G7" s="21"/>
      <c r="H7" s="21"/>
    </row>
    <row r="8" customFormat="false" ht="45.75" hidden="false" customHeight="true" outlineLevel="0" collapsed="false">
      <c r="A8" s="7" t="s">
        <v>67</v>
      </c>
      <c r="B8" s="21"/>
      <c r="C8" s="21"/>
      <c r="D8" s="21"/>
      <c r="E8" s="21"/>
      <c r="F8" s="21"/>
      <c r="G8" s="21"/>
      <c r="H8" s="21"/>
    </row>
    <row r="9" customFormat="false" ht="45.75" hidden="false" customHeight="true" outlineLevel="0" collapsed="false">
      <c r="A9" s="7" t="s">
        <v>68</v>
      </c>
      <c r="B9" s="21"/>
      <c r="C9" s="21"/>
      <c r="D9" s="21"/>
      <c r="E9" s="21"/>
      <c r="F9" s="21"/>
      <c r="G9" s="21"/>
      <c r="H9" s="21"/>
    </row>
    <row r="10" customFormat="false" ht="45.75" hidden="false" customHeight="true" outlineLevel="0" collapsed="false">
      <c r="A10" s="7" t="s">
        <v>69</v>
      </c>
      <c r="B10" s="21"/>
      <c r="C10" s="21"/>
      <c r="D10" s="21"/>
      <c r="E10" s="21"/>
      <c r="F10" s="21"/>
      <c r="G10" s="21"/>
      <c r="H10" s="21"/>
    </row>
    <row r="11" customFormat="false" ht="45.75" hidden="false" customHeight="true" outlineLevel="0" collapsed="false">
      <c r="A11" s="7" t="s">
        <v>70</v>
      </c>
      <c r="B11" s="21"/>
      <c r="C11" s="21"/>
      <c r="D11" s="21"/>
      <c r="E11" s="21"/>
      <c r="F11" s="21"/>
      <c r="G11" s="21"/>
      <c r="H11" s="21"/>
    </row>
    <row r="14" customFormat="false" ht="15" hidden="false" customHeight="false" outlineLevel="0" collapsed="false">
      <c r="A14" s="3" t="s">
        <v>146</v>
      </c>
    </row>
    <row r="15" customFormat="false" ht="15" hidden="false" customHeight="false" outlineLevel="0" collapsed="false">
      <c r="A15" s="4" t="s">
        <v>147</v>
      </c>
    </row>
    <row r="16" customFormat="false" ht="15" hidden="false" customHeight="false" outlineLevel="0" collapsed="false">
      <c r="A16" s="4" t="s">
        <v>148</v>
      </c>
    </row>
    <row r="17" customFormat="false" ht="15" hidden="false" customHeight="false" outlineLevel="0" collapsed="false">
      <c r="A17" s="4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2026-09-03T05:24:39Z</dcterms:created>
  <dc:creator>openpyxl</dc:creator>
  <dc:description/>
  <dc:language>en-US</dc:language>
  <cp:lastModifiedBy/>
  <dcterms:modified xsi:type="dcterms:W3CDTF">2026-09-03T05:24:39Z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